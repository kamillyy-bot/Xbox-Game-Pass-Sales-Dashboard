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d5f50864a76d2/Documentos/EXCEL/"/>
    </mc:Choice>
  </mc:AlternateContent>
  <xr:revisionPtr revIDLastSave="0" documentId="8_{23581E53-3FB4-45BB-BBE8-AF4E51E2456F}" xr6:coauthVersionLast="47" xr6:coauthVersionMax="47" xr10:uidLastSave="{00000000-0000-0000-0000-000000000000}"/>
  <bookViews>
    <workbookView xWindow="2172" yWindow="1560" windowWidth="22704" windowHeight="11088" tabRatio="4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21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<sst xmlns="http://schemas.openxmlformats.org/spreadsheetml/2006/main" count="2022" uniqueCount="324">
  <si>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</si>
  <si>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</si>
  <si>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</si>
  <si>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</si>
  <si>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</si>
  <si>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</si>
  <si>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</si>
  <si>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</si>
  <si>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</si>
  <si>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</si>
  <si>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</si>
  <si>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</si>
  <si>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</si>
  <si>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</si>
  <si>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</si>
  <si>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</si>
  <si>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</si>
  <si>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</si>
  <si>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</si>
  <si>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</si>
  <si>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</si>
  <si>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</si>
  <si>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</si>
  <si>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</si>
  <si>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</si>
  <si>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</si>
  <si>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</si>
  <si>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</si>
  <si>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</si>
  <si>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</si>
  <si>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</si>
  <si>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</si>
  <si>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</si>
  <si>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</si>
  <si>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</si>
  <si>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</si>
  <si>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</si>
  <si>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</si>
  <si>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</si>
  <si>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</si>
  <si>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</si>
  <si>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</si>
  <si>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</si>
  <si>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</si>
  <si>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</si>
  <si>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</si>
  <si>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</si>
  <si>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</si>
  <si>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</si>
  <si>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</si>
  <si>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</si>
  <si>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</si>
  <si>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</si>
  <si>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</si>
  <si>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</si>
  <si>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</si>
  <si>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</si>
  <si>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</si>
  <si>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</si>
  <si>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</si>
  <si>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</si>
  <si>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</si>
  <si>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</si>
  <si>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</si>
  <si>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</si>
  <si>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</si>
  <si>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</si>
  <si>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</si>
  <si>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</si>
  <si>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</si>
  <si>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</si>
  <si>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</si>
  <si>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</si>
  <si>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</si>
  <si>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</si>
  <si>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</si>
  <si>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</si>
  <si>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</si>
  <si>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</si>
  <si>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</si>
  <si>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</si>
  <si>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</si>
  <si>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</si>
  <si>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</si>
  <si>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</si>
  <si>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</si>
  <si>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</si>
  <si>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</si>
  <si>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</si>
  <si>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</si>
  <si>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</si>
  <si>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</si>
  <si>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</si>
  <si>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</si>
  <si>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</si>
  <si>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</si>
  <si>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</si>
  <si>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</si>
  <si>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</si>
  <si>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</si>
  <si>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</si>
  <si>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</si>
  <si>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</si>
  <si>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</si>
  <si>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</si>
  <si>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</si>
  <si>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</si>
  <si>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</si>
  <si>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</si>
  <si>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</si>
  <si>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</si>
  <si>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</si>
  <si>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</si>
  <si>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</si>
  <si>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</si>
  <si>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</si>
  <si>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</si>
  <si>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</si>
  <si>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</si>
  <si>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</si>
  <si>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</si>
  <si>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</si>
  <si>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</si>
  <si>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</si>
  <si>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</si>
  <si>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</si>
  <si>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</si>
  <si>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</si>
  <si>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</si>
  <si>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</si>
  <si>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</si>
  <si>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</si>
  <si>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</si>
  <si>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</si>
  <si>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</si>
  <si>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</si>
  <si>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</si>
  <si>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</si>
  <si>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</si>
  <si>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</si>
  <si>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</si>
  <si>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</si>
  <si>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</si>
  <si>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</si>
  <si>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</si>
  <si>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</si>
  <si>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</si>
  <si>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</si>
  <si>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</si>
  <si>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</si>
  <si>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</si>
  <si>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</si>
  <si>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</si>
  <si>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</si>
  <si>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</si>
  <si>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</si>
  <si>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</si>
  <si>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</si>
  <si>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</si>
  <si>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</si>
  <si>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</si>
  <si>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</si>
  <si>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</si>
  <si>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</si>
  <si>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</si>
  <si>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</si>
  <si>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</si>
  <si>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</si>
  <si>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</si>
  <si>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</si>
  <si>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</si>
  <si>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</si>
  <si>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</si>
  <si>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</si>
  <si>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</si>
  <si>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</si>
  <si>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</si>
  <si>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</si>
  <si>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</si>
  <si>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</si>
  <si>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</si>
  <si>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</si>
  <si>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</si>
  <si>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</si>
  <si>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</si>
  <si>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</si>
  <si>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</si>
  <si>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</si>
  <si>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</si>
  <si>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</si>
  <si>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</si>
  <si>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</si>
  <si>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</si>
  <si>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</si>
  <si>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</si>
  <si>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</si>
  <si>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</si>
  <si>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</si>
  <si>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</si>
  <si>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</si>
  <si>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</si>
  <si>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</si>
  <si>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</si>
  <si>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</si>
  <si>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</si>
  <si>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</si>
  <si>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</si>
  <si>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</si>
  <si>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</si>
  <si>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</si>
  <si>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</si>
  <si>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</si>
  <si>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</si>
  <si>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</si>
  <si>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</si>
  <si>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</si>
  <si>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</si>
  <si>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</si>
  <si>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</si>
  <si>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</si>
  <si>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</si>
  <si>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</si>
  <si>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</si>
  <si>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</si>
  <si>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</si>
  <si>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</si>
  <si>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</si>
  <si>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</si>
  <si>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</si>
  <si>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</si>
  <si>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</si>
  <si>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</si>
  <si>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</si>
  <si>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</si>
  <si>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</si>
  <si>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</si>
  <si>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</si>
  <si>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</si>
  <si>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</si>
  <si>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</si>
  <si>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</si>
  <si>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</si>
  <si>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</si>
  <si>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</si>
  <si>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</si>
  <si>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</si>
  <si>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</si>
  <si>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</si>
  <si>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</si>
  <si>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</si>
  <si>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</si>
  <si>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</si>
  <si>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</si>
  <si>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</si>
  <si>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</si>
  <si>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</si>
  <si>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</si>
  <si>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</si>
  <si>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</si>
  <si>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</si>
  <si>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</si>
  <si>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</si>
  <si>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</si>
  <si>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</si>
  <si>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</si>
  <si>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</si>
  <si>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</si>
  <si>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</si>
  <si>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</si>
  <si>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</si>
  <si>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</si>
  <si>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</si>
  <si>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</si>
  <si>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</si>
  <si>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</si>
  <si>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</si>
  <si>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</si>
  <si>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</si>
  <si>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</si>
  <si>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</si>
  <si>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</si>
  <si>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</si>
  <si>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</si>
  <si>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</si>
  <si>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</si>
  <si>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</si>
  <si>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</si>
  <si>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</si>
  <si>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</si>
  <si>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</si>
  <si>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</si>
  <si>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</si>
  <si>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</si>
  <si>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</si>
  <si>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</si>
  <si>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</si>
  <si>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</si>
  <si>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</si>
  <si>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</si>
  <si>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</si>
  <si>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</si>
  <si>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</si>
  <si>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</si>
  <si>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</si>
  <si>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</si>
  <si>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</si>
  <si>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</si>
  <si>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</si>
  <si>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</si>
  <si>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</si>
  <si>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</si>
  <si>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</si>
  <si>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</si>
  <si>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planos anuais (contendo todas as assinaturas agregadas)</t>
    </r>
    <r>
      <rPr>
        <b/>
        <sz val="11"/>
        <color theme="1"/>
        <rFont val="Aptos Narrow"/>
        <family val="2"/>
        <scheme val="minor"/>
      </rPr>
      <t xml:space="preserve"> </t>
    </r>
  </si>
  <si>
    <t>Soma de Total Value</t>
  </si>
  <si>
    <t>Rótulos de Linha</t>
  </si>
  <si>
    <t>Total Geral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</si>
  <si>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planos anuais, separado por auto renovação </t>
    </r>
  </si>
  <si>
    <t>XBOX GAME PASS SUBSCRIPTION SALES</t>
  </si>
  <si>
    <t>Pergunta de Negócio 3 - Total de Vendas de Assinaturas do EA Play</t>
  </si>
  <si>
    <t>Soma de EA Play Season Pass</t>
  </si>
  <si>
    <t>Pergunta de Negócio 4 - Total de Vendas do Minecraft Season Pass</t>
  </si>
  <si>
    <t>Soma de Minecraft Season Pass Price</t>
  </si>
  <si>
    <t>Calculation period: 01/01/2024 - 31/12/2024 | Update date: 06/02/2025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</si>
</sst>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0" fontId="0" fillId="0" borderId="0" xfId="0" applyNumberFormat="1"/>
    <xf numFmtId="166" fontId="0" fillId="0" borderId="0" xfId="0" applyNumberFormat="1"/>
    <xf numFmtId="0" fontId="5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D157299-2B7B-4B26-B862-EE33CD9E80D3}">
      <tableStyleElement type="wholeTable" dxfId="1"/>
      <tableStyleElement type="headerRow" dxfId="0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[Xbox_sales_dashboard.xlsx]C̳álculos!Tbl_annual_total</c:name>
    <c:fmtId val="1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7-43A1-8FA9-EA47C9052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404975"/>
        <c:axId val="1034419855"/>
      </c:barChart>
      <c:catAx>
        <c:axId val="103440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419855"/>
        <c:crosses val="autoZero"/>
        <c:auto val="1"/>
        <c:lblAlgn val="ctr"/>
        <c:lblOffset val="100"/>
        <c:noMultiLvlLbl val="0"/>
      </c:catAx>
      <c:valAx>
        <c:axId val="103441985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440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914400</xdr:colOff>
      <xdr:row>0</xdr:row>
      <xdr:rowOff>0</xdr:rowOff>
    </xdr:from>
    <xdr:to>
      <xdr:col>0</xdr:col>
      <xdr:colOff>1676400</xdr:colOff>
      <xdr:row>3</xdr:row>
      <xdr:rowOff>477154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D34013-AF73-4BA8-B941-5ECC522228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r="72607"/>
        <a:stretch>
          <a:fillRect/>
        </a:stretch>
      </xdr:blipFill>
      <xdr:spPr>
        <a:xfrm>
          <a:off x="914400" y="0"/>
          <a:ext cx="762000" cy="13344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114300</xdr:rowOff>
    </xdr:from>
    <xdr:to>
      <xdr:col>1</xdr:col>
      <xdr:colOff>0</xdr:colOff>
      <xdr:row>20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A06CE266-0F0D-4502-9139-39952D98BC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09750"/>
              <a:ext cx="17907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47624</xdr:colOff>
      <xdr:row>7</xdr:row>
      <xdr:rowOff>47625</xdr:rowOff>
    </xdr:from>
    <xdr:to>
      <xdr:col>11</xdr:col>
      <xdr:colOff>228599</xdr:colOff>
      <xdr:row>16</xdr:row>
      <xdr:rowOff>76200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142D7F6A-4533-E8A6-EC71-FBE6D058F7C4}"/>
            </a:ext>
          </a:extLst>
        </xdr:cNvPr>
        <xdr:cNvGrpSpPr/>
      </xdr:nvGrpSpPr>
      <xdr:grpSpPr>
        <a:xfrm>
          <a:off x="2085974" y="1876425"/>
          <a:ext cx="5667375" cy="1838325"/>
          <a:chOff x="2324100" y="1724025"/>
          <a:chExt cx="5429250" cy="18383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B3F5674-7868-74CF-1905-282A26D100EB}"/>
              </a:ext>
            </a:extLst>
          </xdr:cNvPr>
          <xdr:cNvSpPr/>
        </xdr:nvSpPr>
        <xdr:spPr>
          <a:xfrm>
            <a:off x="2324100" y="1752600"/>
            <a:ext cx="5419725" cy="1809750"/>
          </a:xfrm>
          <a:prstGeom prst="roundRect">
            <a:avLst>
              <a:gd name="adj" fmla="val 7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1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41AEB55F-3EEF-4DAF-8F0B-0709F4FF65FD}"/>
              </a:ext>
            </a:extLst>
          </xdr:cNvPr>
          <xdr:cNvSpPr/>
        </xdr:nvSpPr>
        <xdr:spPr>
          <a:xfrm>
            <a:off x="4048125" y="2295524"/>
            <a:ext cx="3209925" cy="1057275"/>
          </a:xfrm>
          <a:prstGeom prst="roundRect">
            <a:avLst>
              <a:gd name="adj" fmla="val 733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5D6B202-85E4-48CF-A49F-0C3F889AA679}" type="TxLink">
              <a:rPr lang="en-US" sz="4400" b="0" i="0" u="none" strike="noStrike">
                <a:solidFill>
                  <a:srgbClr val="5BF6A8"/>
                </a:solidFill>
                <a:latin typeface="Aptos Narrow"/>
              </a:rPr>
              <a:pPr algn="ctr"/>
              <a:t>R$ 1.350,00</a:t>
            </a:fld>
            <a:endParaRPr lang="pt-BR" sz="4400" b="0">
              <a:solidFill>
                <a:srgbClr val="5BF6A8"/>
              </a:solidFill>
            </a:endParaRPr>
          </a:p>
        </xdr:txBody>
      </xdr:sp>
      <xdr:pic>
        <xdr:nvPicPr>
          <xdr:cNvPr id="3" name="Imagem 2">
            <a:extLst>
              <a:ext uri="{FF2B5EF4-FFF2-40B4-BE49-F238E27FC236}">
                <a16:creationId xmlns:a16="http://schemas.microsoft.com/office/drawing/2014/main" id="{7F3BBAFD-33E9-4F73-87B7-D4A46ED28A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57474" y="2171699"/>
            <a:ext cx="1364627" cy="1304925"/>
          </a:xfrm>
          <a:prstGeom prst="rect">
            <a:avLst/>
          </a:prstGeom>
        </xdr:spPr>
      </xdr:pic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71D99DA1-C13B-049B-7066-4801260A68DC}"/>
              </a:ext>
            </a:extLst>
          </xdr:cNvPr>
          <xdr:cNvSpPr/>
        </xdr:nvSpPr>
        <xdr:spPr>
          <a:xfrm>
            <a:off x="2324101" y="1724025"/>
            <a:ext cx="5429249" cy="3905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SUBSCRIPTIONS EA PLAY SEASON</a:t>
            </a:r>
            <a:r>
              <a:rPr lang="pt-BR" sz="1100" baseline="0"/>
              <a:t> PASS</a:t>
            </a:r>
            <a:endParaRPr lang="pt-BR" sz="1100"/>
          </a:p>
        </xdr:txBody>
      </xdr:sp>
    </xdr:grpSp>
    <xdr:clientData/>
  </xdr:twoCellAnchor>
  <xdr:twoCellAnchor>
    <xdr:from>
      <xdr:col>13</xdr:col>
      <xdr:colOff>47625</xdr:colOff>
      <xdr:row>7</xdr:row>
      <xdr:rowOff>76200</xdr:rowOff>
    </xdr:from>
    <xdr:to>
      <xdr:col>21</xdr:col>
      <xdr:colOff>590550</xdr:colOff>
      <xdr:row>16</xdr:row>
      <xdr:rowOff>76200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9B53082-96FA-02E7-14DF-FF0833D27B94}"/>
            </a:ext>
          </a:extLst>
        </xdr:cNvPr>
        <xdr:cNvSpPr/>
      </xdr:nvSpPr>
      <xdr:spPr>
        <a:xfrm>
          <a:off x="8629650" y="1752600"/>
          <a:ext cx="5419725" cy="1809750"/>
        </a:xfrm>
        <a:prstGeom prst="roundRect">
          <a:avLst>
            <a:gd name="adj" fmla="val 733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552450</xdr:colOff>
      <xdr:row>9</xdr:row>
      <xdr:rowOff>66675</xdr:rowOff>
    </xdr:from>
    <xdr:to>
      <xdr:col>21</xdr:col>
      <xdr:colOff>104775</xdr:colOff>
      <xdr:row>15</xdr:row>
      <xdr:rowOff>38100</xdr:rowOff>
    </xdr:to>
    <xdr:sp macro="" textlink="C̳álculos!D33">
      <xdr:nvSpPr>
        <xdr:cNvPr id="11" name="Retângulo: Cantos Arredondados 10">
          <a:extLst>
            <a:ext uri="{FF2B5EF4-FFF2-40B4-BE49-F238E27FC236}">
              <a16:creationId xmlns:a16="http://schemas.microsoft.com/office/drawing/2014/main" id="{B5F2A037-7AD2-A787-142B-1BE6E4FA932C}"/>
            </a:ext>
          </a:extLst>
        </xdr:cNvPr>
        <xdr:cNvSpPr/>
      </xdr:nvSpPr>
      <xdr:spPr>
        <a:xfrm>
          <a:off x="10353675" y="2286000"/>
          <a:ext cx="3209925" cy="1057275"/>
        </a:xfrm>
        <a:prstGeom prst="roundRect">
          <a:avLst>
            <a:gd name="adj" fmla="val 7334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8E1A9CB-0F29-442E-B929-235DAB249853}" type="TxLink">
            <a:rPr lang="en-US" sz="4400" b="0" i="0" u="none" strike="noStrike">
              <a:solidFill>
                <a:srgbClr val="5BF6A8"/>
              </a:solidFill>
              <a:latin typeface="Aptos Narrow"/>
              <a:ea typeface="+mn-ea"/>
              <a:cs typeface="+mn-cs"/>
            </a:rPr>
            <a:t>R$ 1.800,00</a:t>
          </a:fld>
          <a:endParaRPr lang="pt-BR" sz="4400" b="0" i="0" u="none" strike="noStrike">
            <a:solidFill>
              <a:srgbClr val="5BF6A8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47626</xdr:colOff>
      <xdr:row>7</xdr:row>
      <xdr:rowOff>47625</xdr:rowOff>
    </xdr:from>
    <xdr:to>
      <xdr:col>21</xdr:col>
      <xdr:colOff>600075</xdr:colOff>
      <xdr:row>8</xdr:row>
      <xdr:rowOff>314325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59E24CE1-0AC8-53A7-991E-0C810C7FB67E}"/>
            </a:ext>
          </a:extLst>
        </xdr:cNvPr>
        <xdr:cNvSpPr/>
      </xdr:nvSpPr>
      <xdr:spPr>
        <a:xfrm>
          <a:off x="8629651" y="1724025"/>
          <a:ext cx="5429249" cy="3905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SUBSCRIPTIONS MINECRAFT</a:t>
          </a:r>
          <a:r>
            <a:rPr lang="pt-BR" sz="1100" baseline="0"/>
            <a:t> </a:t>
          </a:r>
          <a:r>
            <a:rPr lang="pt-BR" sz="1100"/>
            <a:t>SEASON</a:t>
          </a:r>
          <a:r>
            <a:rPr lang="pt-BR" sz="1100" baseline="0"/>
            <a:t> PASS</a:t>
          </a:r>
          <a:endParaRPr lang="pt-BR" sz="1100"/>
        </a:p>
      </xdr:txBody>
    </xdr:sp>
    <xdr:clientData/>
  </xdr:twoCellAnchor>
  <xdr:twoCellAnchor editAs="absolute">
    <xdr:from>
      <xdr:col>13</xdr:col>
      <xdr:colOff>361950</xdr:colOff>
      <xdr:row>9</xdr:row>
      <xdr:rowOff>81914</xdr:rowOff>
    </xdr:from>
    <xdr:to>
      <xdr:col>16</xdr:col>
      <xdr:colOff>82626</xdr:colOff>
      <xdr:row>13</xdr:row>
      <xdr:rowOff>80010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96ABA80-E73C-45A3-913E-12CF989C4354}"/>
            </a:ext>
          </a:extLst>
        </xdr:cNvPr>
        <xdr:cNvGrpSpPr/>
      </xdr:nvGrpSpPr>
      <xdr:grpSpPr>
        <a:xfrm>
          <a:off x="8943975" y="2453639"/>
          <a:ext cx="1549476" cy="721996"/>
          <a:chOff x="3495675" y="5400674"/>
          <a:chExt cx="1549476" cy="752476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DCA92899-D5F8-9C8D-8D33-6090208560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A98EEEAF-B77E-7383-3355-74756F7237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66676</xdr:colOff>
      <xdr:row>19</xdr:row>
      <xdr:rowOff>85725</xdr:rowOff>
    </xdr:from>
    <xdr:to>
      <xdr:col>21</xdr:col>
      <xdr:colOff>590550</xdr:colOff>
      <xdr:row>37</xdr:row>
      <xdr:rowOff>152400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27A641E-9448-3854-E4D1-F1599C442242}"/>
            </a:ext>
          </a:extLst>
        </xdr:cNvPr>
        <xdr:cNvGrpSpPr/>
      </xdr:nvGrpSpPr>
      <xdr:grpSpPr>
        <a:xfrm>
          <a:off x="2105026" y="4267200"/>
          <a:ext cx="11944349" cy="3324225"/>
          <a:chOff x="2085976" y="4114800"/>
          <a:chExt cx="11944349" cy="332422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28DF66C-5048-1CE2-CF72-ABDA3DB46704}"/>
              </a:ext>
            </a:extLst>
          </xdr:cNvPr>
          <xdr:cNvSpPr/>
        </xdr:nvSpPr>
        <xdr:spPr>
          <a:xfrm>
            <a:off x="2095500" y="4143375"/>
            <a:ext cx="11934825" cy="3295650"/>
          </a:xfrm>
          <a:prstGeom prst="roundRect">
            <a:avLst>
              <a:gd name="adj" fmla="val 666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CF31AB7E-B958-490C-953F-E899A68A2294}"/>
              </a:ext>
            </a:extLst>
          </xdr:cNvPr>
          <xdr:cNvGraphicFramePr>
            <a:graphicFrameLocks/>
          </xdr:cNvGraphicFramePr>
        </xdr:nvGraphicFramePr>
        <xdr:xfrm>
          <a:off x="2435490" y="4562475"/>
          <a:ext cx="1125484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1253C4B7-73FA-49B9-AFA5-5BEC81DD9801}"/>
              </a:ext>
            </a:extLst>
          </xdr:cNvPr>
          <xdr:cNvSpPr/>
        </xdr:nvSpPr>
        <xdr:spPr>
          <a:xfrm>
            <a:off x="2085976" y="4114800"/>
            <a:ext cx="11944349" cy="3905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SUBSCRIPTIONS</a:t>
            </a:r>
            <a:r>
              <a:rPr lang="pt-BR" sz="1100" baseline="0"/>
              <a:t> XBOX GAME PASS</a:t>
            </a:r>
            <a:endParaRPr lang="pt-BR" sz="1100"/>
          </a:p>
        </xdr:txBody>
      </xdr:sp>
    </xdr:grpSp>
    <xdr:clientData/>
  </xdr:twoCellAnchor>
  <xdr:twoCellAnchor editAs="absolute">
    <xdr:from>
      <xdr:col>0</xdr:col>
      <xdr:colOff>57150</xdr:colOff>
      <xdr:row>1</xdr:row>
      <xdr:rowOff>154757</xdr:rowOff>
    </xdr:from>
    <xdr:to>
      <xdr:col>0</xdr:col>
      <xdr:colOff>752475</xdr:colOff>
      <xdr:row>3</xdr:row>
      <xdr:rowOff>141422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C040C2C-212D-4772-ACFE-CEA031F87B00}"/>
            </a:ext>
          </a:extLst>
        </xdr:cNvPr>
        <xdr:cNvSpPr/>
      </xdr:nvSpPr>
      <xdr:spPr>
        <a:xfrm>
          <a:off x="57150" y="335732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57150</xdr:colOff>
      <xdr:row>3</xdr:row>
      <xdr:rowOff>342900</xdr:rowOff>
    </xdr:from>
    <xdr:to>
      <xdr:col>0</xdr:col>
      <xdr:colOff>1638300</xdr:colOff>
      <xdr:row>4</xdr:row>
      <xdr:rowOff>133350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86F4DDCF-1F4A-4917-16AB-F8ABC6D90E6A}"/>
            </a:ext>
          </a:extLst>
        </xdr:cNvPr>
        <xdr:cNvSpPr/>
      </xdr:nvSpPr>
      <xdr:spPr>
        <a:xfrm>
          <a:off x="57150" y="1200150"/>
          <a:ext cx="1581150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Bem-</a:t>
          </a:r>
          <a:r>
            <a:rPr lang="pt-BR" sz="1200" b="1" baseline="0"/>
            <a:t>vinda, gestora!</a:t>
          </a:r>
          <a:endParaRPr lang="pt-BR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ly Oliveira das Neves Silva" refreshedDate="46059.697791550927" createdVersion="8" refreshedVersion="8" minRefreshableVersion="3" recordCount="295" xr:uid="{FFDE66EC-7967-414F-971E-268C4891A71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727123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C998F-D0E6-45A5-A66C-F0A9400ABFD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E80B0-FDC3-44CE-8A1F-6F54E0F92165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20C42-F866-4A35-938C-CDC8817B296A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AA29E0E-6A95-4266-B5BE-43FC89B9AB99}" sourceName="Subscription Type">
  <pivotTables>
    <pivotTable tabId="3" name="Tbl_annual_total"/>
    <pivotTable tabId="3" name="tbl_easeasonpass_total"/>
    <pivotTable tabId="3" name="Tabela dinâmica1"/>
  </pivotTables>
  <data>
    <tabular pivotCacheId="197271231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35750B2-ADB4-4F22-91F4-74A0E19F46AD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1" sqref="M1:M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33"/>
  <sheetViews>
    <sheetView showGridLines="0" topLeftCell="A13" workbookViewId="0">
      <selection activeCell="Q19" sqref="Q19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4" spans="2:3" x14ac:dyDescent="0.3">
      <c r="B4" t="s">
        <v>317</v>
      </c>
    </row>
    <row r="6" spans="2:3" x14ac:dyDescent="0.3">
      <c r="B6" s="13" t="s">
        <v>16</v>
      </c>
      <c r="C6" t="s">
        <v>20</v>
      </c>
    </row>
    <row r="8" spans="2:3" x14ac:dyDescent="0.3">
      <c r="B8" s="13" t="s">
        <v>315</v>
      </c>
      <c r="C8" t="s">
        <v>314</v>
      </c>
    </row>
    <row r="9" spans="2:3" x14ac:dyDescent="0.3">
      <c r="B9" s="14" t="s">
        <v>23</v>
      </c>
      <c r="C9" s="12">
        <v>2824</v>
      </c>
    </row>
    <row r="10" spans="2:3" x14ac:dyDescent="0.3">
      <c r="B10" s="14" t="s">
        <v>19</v>
      </c>
      <c r="C10" s="12">
        <v>747</v>
      </c>
    </row>
    <row r="11" spans="2:3" x14ac:dyDescent="0.3">
      <c r="B11" s="14" t="s">
        <v>316</v>
      </c>
      <c r="C11" s="12">
        <v>3571</v>
      </c>
    </row>
    <row r="13" spans="2:3" x14ac:dyDescent="0.3">
      <c r="B13" t="s">
        <v>319</v>
      </c>
    </row>
    <row r="15" spans="2:3" x14ac:dyDescent="0.3">
      <c r="B15" s="13" t="s">
        <v>16</v>
      </c>
      <c r="C15" t="s">
        <v>20</v>
      </c>
    </row>
    <row r="17" spans="2:4" x14ac:dyDescent="0.3">
      <c r="B17" s="13" t="s">
        <v>315</v>
      </c>
      <c r="C17" t="s">
        <v>320</v>
      </c>
    </row>
    <row r="18" spans="2:4" x14ac:dyDescent="0.3">
      <c r="B18" s="14" t="s">
        <v>22</v>
      </c>
      <c r="C18" s="16">
        <v>0</v>
      </c>
    </row>
    <row r="19" spans="2:4" x14ac:dyDescent="0.3">
      <c r="B19" s="14" t="s">
        <v>26</v>
      </c>
      <c r="C19" s="16">
        <v>0</v>
      </c>
    </row>
    <row r="20" spans="2:4" x14ac:dyDescent="0.3">
      <c r="B20" s="14" t="s">
        <v>18</v>
      </c>
      <c r="C20" s="16">
        <v>1350</v>
      </c>
    </row>
    <row r="21" spans="2:4" x14ac:dyDescent="0.3">
      <c r="B21" s="14" t="s">
        <v>316</v>
      </c>
      <c r="C21" s="16">
        <v>1350</v>
      </c>
      <c r="D21" s="17">
        <f>GETPIVOTDATA("EA Play Season Pass
Price",$B$17)</f>
        <v>1350</v>
      </c>
    </row>
    <row r="25" spans="2:4" x14ac:dyDescent="0.3">
      <c r="B25" t="s">
        <v>321</v>
      </c>
    </row>
    <row r="27" spans="2:4" x14ac:dyDescent="0.3">
      <c r="B27" s="13" t="s">
        <v>16</v>
      </c>
      <c r="C27" t="s">
        <v>20</v>
      </c>
    </row>
    <row r="29" spans="2:4" x14ac:dyDescent="0.3">
      <c r="B29" s="13" t="s">
        <v>315</v>
      </c>
      <c r="C29" t="s">
        <v>322</v>
      </c>
    </row>
    <row r="30" spans="2:4" x14ac:dyDescent="0.3">
      <c r="B30" s="14" t="s">
        <v>22</v>
      </c>
      <c r="C30" s="12">
        <v>0</v>
      </c>
    </row>
    <row r="31" spans="2:4" x14ac:dyDescent="0.3">
      <c r="B31" s="14" t="s">
        <v>26</v>
      </c>
      <c r="C31" s="12">
        <v>900</v>
      </c>
    </row>
    <row r="32" spans="2:4" x14ac:dyDescent="0.3">
      <c r="B32" s="14" t="s">
        <v>18</v>
      </c>
      <c r="C32" s="12">
        <v>900</v>
      </c>
    </row>
    <row r="33" spans="2:4" x14ac:dyDescent="0.3">
      <c r="B33" s="14" t="s">
        <v>316</v>
      </c>
      <c r="C33" s="12">
        <v>1800</v>
      </c>
      <c r="D33" s="17">
        <f>GETPIVOTDATA("Minecraft Season Pass Price",$B$29)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AE63"/>
  <sheetViews>
    <sheetView showGridLines="0" showRowColHeaders="0" tabSelected="1" zoomScale="80" zoomScaleNormal="80" workbookViewId="0">
      <selection activeCell="Y47" sqref="Y46:Y47"/>
    </sheetView>
  </sheetViews>
  <sheetFormatPr defaultRowHeight="14.4" x14ac:dyDescent="0.3"/>
  <cols>
    <col min="1" max="1" width="26.109375" style="4" customWidth="1"/>
    <col min="2" max="2" width="3.5546875" customWidth="1"/>
    <col min="12" max="12" width="6.5546875" customWidth="1"/>
  </cols>
  <sheetData>
    <row r="3" spans="2:31" ht="39" customHeight="1" thickBot="1" x14ac:dyDescent="0.6">
      <c r="C3" s="18" t="s">
        <v>318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9"/>
      <c r="Q3" s="19"/>
      <c r="R3" s="19"/>
      <c r="S3" s="19"/>
      <c r="T3" s="19"/>
      <c r="U3" s="19"/>
      <c r="V3" s="19"/>
    </row>
    <row r="4" spans="2:31" ht="39" customHeight="1" thickTop="1" x14ac:dyDescent="0.3"/>
    <row r="5" spans="2:31" ht="19.2" customHeight="1" x14ac:dyDescent="0.3">
      <c r="B5" s="7"/>
      <c r="C5" s="7" t="s">
        <v>323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2:31" ht="7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2:31" ht="10.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2:31" ht="9.7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2:31" ht="33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2:31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2:3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2:31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2:3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2:3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2:31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2:3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2:3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2:3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2:31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2:3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2:31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2:3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2:31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2:3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2:3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2:3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2:31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2:3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2:31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2:31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2:31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2:3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2:31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2:31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2:31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2:31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2:31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2:31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2:31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2:31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2:31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2:31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2:3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2:31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2:31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2:3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2:31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2:3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2:31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2:31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2:3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2:31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2:31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2:31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2:31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2:31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2:31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2:3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2:3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2:3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2:3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2:3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Kamilly Oliveira das Neves Silva</cp:lastModifiedBy>
  <dcterms:created xsi:type="dcterms:W3CDTF">2024-12-19T13:13:10Z</dcterms:created>
  <dcterms:modified xsi:type="dcterms:W3CDTF">2026-02-06T21:57:41Z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